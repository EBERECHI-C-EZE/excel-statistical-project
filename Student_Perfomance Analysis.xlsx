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 AL SAFA\Documents\"/>
    </mc:Choice>
  </mc:AlternateContent>
  <xr:revisionPtr revIDLastSave="0" documentId="8_{4F36C1D5-523A-4158-BE7A-FEE3A3A4DEA7}" xr6:coauthVersionLast="47" xr6:coauthVersionMax="47" xr10:uidLastSave="{00000000-0000-0000-0000-000000000000}"/>
  <bookViews>
    <workbookView xWindow="-120" yWindow="-120" windowWidth="24240" windowHeight="13140" xr2:uid="{7577F5A1-96EA-42CB-9009-0E766301436C}"/>
  </bookViews>
  <sheets>
    <sheet name="Student scores Dataset" sheetId="1" r:id="rId1"/>
    <sheet name="Anaysis" sheetId="2" r:id="rId2"/>
    <sheet name="Questionnaire Dataset" sheetId="4" r:id="rId3"/>
    <sheet name="Visualiz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2" l="1"/>
  <c r="B23" i="2"/>
  <c r="C27" i="2"/>
  <c r="C25" i="2"/>
  <c r="C23" i="2"/>
  <c r="B27" i="2"/>
  <c r="B25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<sst xmlns="http://schemas.openxmlformats.org/spreadsheetml/2006/main" count="81" uniqueCount="55">
  <si>
    <t>Student_Id</t>
  </si>
  <si>
    <t>Applied_Statistics</t>
  </si>
  <si>
    <t>Mathematical_Statistics</t>
  </si>
  <si>
    <t>Difference</t>
  </si>
  <si>
    <t>Average</t>
  </si>
  <si>
    <t>S.D</t>
  </si>
  <si>
    <t>Var.</t>
  </si>
  <si>
    <t>Summary Table</t>
  </si>
  <si>
    <t>Metric</t>
  </si>
  <si>
    <t>Std. Dev</t>
  </si>
  <si>
    <t>Applied Stats</t>
  </si>
  <si>
    <t>Mathematical Stats</t>
  </si>
  <si>
    <t>Student_ID</t>
  </si>
  <si>
    <t>T.TEST RESULT</t>
  </si>
  <si>
    <t>Test</t>
  </si>
  <si>
    <t>Paired sample t-test</t>
  </si>
  <si>
    <t>P-value</t>
  </si>
  <si>
    <t>Demographic Data</t>
  </si>
  <si>
    <t>Response by Gender</t>
  </si>
  <si>
    <t>Gender</t>
  </si>
  <si>
    <t>Male</t>
  </si>
  <si>
    <t>Female</t>
  </si>
  <si>
    <t>Total</t>
  </si>
  <si>
    <t>Frequency</t>
  </si>
  <si>
    <t>Percentage (%)</t>
  </si>
  <si>
    <t>Response by Course Competion</t>
  </si>
  <si>
    <t>Course Completion</t>
  </si>
  <si>
    <t>Completed</t>
  </si>
  <si>
    <t>Not Completed</t>
  </si>
  <si>
    <t>Response by Level of Study</t>
  </si>
  <si>
    <t>Level</t>
  </si>
  <si>
    <t>HND1</t>
  </si>
  <si>
    <t>HND2</t>
  </si>
  <si>
    <t>Graduate</t>
  </si>
  <si>
    <t>Frequency Distribution of Response Across Questionnaire Questions</t>
  </si>
  <si>
    <t>I find Mathematical Statistics more difficult than Applied Statistics.</t>
  </si>
  <si>
    <t>I find Applied Statistics more interesting than Mathematical Statistics.</t>
  </si>
  <si>
    <t>I understand topics in Mathematical Statistics easily</t>
  </si>
  <si>
    <t>I understand topics in Applied Statistics more easily.</t>
  </si>
  <si>
    <t>The Mathematical Statistics lecturer explained the course clearly</t>
  </si>
  <si>
    <t>The Applied Statistics lecturer used practical examples during lessons</t>
  </si>
  <si>
    <t>Assessments method in Mathematical Statistics helped me understand the course better.</t>
  </si>
  <si>
    <t>I felt confident taking test in Applied Statistics</t>
  </si>
  <si>
    <t>Group discussions help understand Mathematical Statistics</t>
  </si>
  <si>
    <t xml:space="preserve">Real life examples used in Applied Statistics made the course easier to understand </t>
  </si>
  <si>
    <t>Watching tutorials online improved my understanding of Mathematical Statistics</t>
  </si>
  <si>
    <t>Peer study sessions were helpful for Applied Statistics</t>
  </si>
  <si>
    <t>I would benefit more if Mathematical Statistics was taught using practical methods</t>
  </si>
  <si>
    <t>More real-life data projects should be used in Applied Statistics</t>
  </si>
  <si>
    <t>I received adequate academic support in both courses</t>
  </si>
  <si>
    <t>I am satisfied with my performance I both courses</t>
  </si>
  <si>
    <t>Questions</t>
  </si>
  <si>
    <t>Disagree (1-2)</t>
  </si>
  <si>
    <t>Nuetral (3)</t>
  </si>
  <si>
    <t>Agree (4-5)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</si>
</sst>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69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Mean</a:t>
            </a:r>
            <a:r>
              <a:rPr lang="en-US" sz="1800" b="1" baseline="0"/>
              <a:t> Score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Anaysis!$H$2:$I$2</c:f>
              <c:strCache>
                <c:ptCount val="2"/>
                <c:pt idx="0">
                  <c:v>Applied Stats</c:v>
                </c:pt>
                <c:pt idx="1">
                  <c:v>Mathematical Stats</c:v>
                </c:pt>
              </c:strCache>
            </c:strRef>
          </c:cat>
          <c:val>
            <c:numRef>
              <c:f>Anaysis!$H$3:$I$3</c:f>
              <c:numCache>
                <c:formatCode>0.00</c:formatCode>
                <c:ptCount val="2"/>
                <c:pt idx="0">
                  <c:v>52.631578947368418</c:v>
                </c:pt>
                <c:pt idx="1">
                  <c:v>51.473684210526315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B-4B0E-9E44-1A6C98A67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3809487"/>
        <c:axId val="1373809967"/>
      </c:barChart>
      <c:catAx>
        <c:axId val="137380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09967"/>
        <c:crosses val="autoZero"/>
        <c:auto val="1"/>
        <c:lblAlgn val="ctr"/>
        <c:lblOffset val="100"/>
        <c:noMultiLvlLbl val="0"/>
      </c:catAx>
      <c:valAx>
        <c:axId val="13738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0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'Questionnaire Dataset'!$F$4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F-4689-AEEE-32E1393C38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F-4689-AEEE-32E1393C38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'Questionnaire Dataset'!$E$5:$E$6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'Questionnaire Dataset'!$F$5:$F$6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F-4A58-B1DE-595CCD3423B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Course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'Questionnaire Dataset'!$F$11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E7-4FA8-B8ED-D6CBAA13C2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E7-4FA8-B8ED-D6CBAA13C2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'Questionnaire Dataset'!$E$12:$E$13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'Questionnaire Dataset'!$F$12:$F$13</c:f>
              <c:numCache>
                <c:formatCode>0%</c:formatCode>
                <c:ptCount val="2"/>
                <c:pt idx="0">
                  <c:v>0.94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7-47EF-AA77-144990836A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Level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'Questionnaire Dataset'!$F$18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Dataset'!$E$19:$E$21</c:f>
              <c:strCache>
                <c:ptCount val="3"/>
                <c:pt idx="0">
                  <c:v>HND1</c:v>
                </c:pt>
                <c:pt idx="1">
                  <c:v>HND2</c:v>
                </c:pt>
                <c:pt idx="2">
                  <c:v>Graduate</c:v>
                </c:pt>
              </c:strCache>
            </c:strRef>
          </c:cat>
          <c:val>
            <c:numRef>
              <c:f>'Questionnaire Dataset'!$F$19:$F$21</c:f>
              <c:numCache>
                <c:formatCode>0.00%</c:formatCode>
                <c:ptCount val="3"/>
                <c:pt idx="0">
                  <c:v>0.3125</c:v>
                </c:pt>
                <c:pt idx="1">
                  <c:v>0.625</c:v>
                </c:pt>
                <c:pt idx="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A-4D91-83F2-5515777D0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9810047"/>
        <c:axId val="1379811007"/>
      </c:barChart>
      <c:catAx>
        <c:axId val="13798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11007"/>
        <c:crosses val="autoZero"/>
        <c:auto val="1"/>
        <c:lblAlgn val="ctr"/>
        <c:lblOffset val="100"/>
        <c:noMultiLvlLbl val="0"/>
      </c:catAx>
      <c:valAx>
        <c:axId val="137981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665594139937711"/>
          <c:y val="0.10367575122292105"/>
          <c:w val="0.64932652085224729"/>
          <c:h val="0.4086511827530992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'Questionnaire Dataset'!$C$31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Dataset'!$C$32:$C$47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BB3A-45C2-A9A4-092B7B5C4366}"/>
            </c:ext>
          </c:extLst>
        </c:ser>
        <c:ser>
          <c:idx val="1"/>
          <c:order val="1"/>
          <c:tx>
            <c:strRef>
              <c:f>'Questionnaire Dataset'!$D$31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Dataset'!$D$32:$D$47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1-BB3A-45C2-A9A4-092B7B5C4366}"/>
            </c:ext>
          </c:extLst>
        </c:ser>
        <c:ser>
          <c:idx val="2"/>
          <c:order val="2"/>
          <c:tx>
            <c:strRef>
              <c:f>'Questionnaire Dataset'!$E$31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Dataset'!$E$32:$E$47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BB3A-45C2-A9A4-092B7B5C4366}"/>
            </c:ext>
          </c:extLst>
        </c:ser>
        <c:ser>
          <c:idx val="3"/>
          <c:order val="3"/>
          <c:tx>
            <c:strRef>
              <c:f>'Questionnaire Dataset'!$F$31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Dataset'!$F$32:$F$47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BB3A-45C2-A9A4-092B7B5C4366}"/>
            </c:ext>
          </c:extLst>
        </c:ser>
        <c:ser>
          <c:idx val="4"/>
          <c:order val="4"/>
          <c:tx>
            <c:strRef>
              <c:f>'Questionnaire Dataset'!$G$31</c:f>
              <c:strCache>
                <c:ptCount val="1"/>
                <c:pt idx="0">
                  <c:v>Disagree (1-2)</c:v>
                </c:pt>
              </c:strCache>
            </c:strRef>
          </c:tx>
          <c:spPr>
            <a:solidFill>
              <a:srgbClr val="E269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Dataset'!$G$32:$G$47</c:f>
              <c:numCache>
                <c:formatCode>General</c:formatCode>
                <c:ptCount val="16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A-45C2-A9A4-092B7B5C4366}"/>
            </c:ext>
          </c:extLst>
        </c:ser>
        <c:ser>
          <c:idx val="5"/>
          <c:order val="5"/>
          <c:tx>
            <c:strRef>
              <c:f>'Questionnaire Dataset'!$H$31</c:f>
              <c:strCache>
                <c:ptCount val="1"/>
                <c:pt idx="0">
                  <c:v>Nuetral (3)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Dataset'!$H$32:$H$47</c:f>
              <c:numCache>
                <c:formatCode>General</c:formatCode>
                <c:ptCount val="1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A-45C2-A9A4-092B7B5C4366}"/>
            </c:ext>
          </c:extLst>
        </c:ser>
        <c:ser>
          <c:idx val="6"/>
          <c:order val="6"/>
          <c:tx>
            <c:strRef>
              <c:f>'Questionnaire Dataset'!$I$31</c:f>
              <c:strCache>
                <c:ptCount val="1"/>
                <c:pt idx="0">
                  <c:v>Agree (4-5)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Dataset'!$I$32:$I$47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15</c:v>
                </c:pt>
                <c:pt idx="14">
                  <c:v>11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A-45C2-A9A4-092B7B5C43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8494239"/>
        <c:axId val="1508491359"/>
      </c:barChart>
      <c:catAx>
        <c:axId val="15084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91359"/>
        <c:crosses val="autoZero"/>
        <c:auto val="1"/>
        <c:lblAlgn val="ctr"/>
        <c:lblOffset val="100"/>
        <c:noMultiLvlLbl val="0"/>
      </c:catAx>
      <c:valAx>
        <c:axId val="15084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Mean</a:t>
            </a:r>
            <a:r>
              <a:rPr lang="en-US" sz="1800" b="1" baseline="0"/>
              <a:t> Score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Anaysis!$H$2:$I$2</c:f>
              <c:strCache>
                <c:ptCount val="2"/>
                <c:pt idx="0">
                  <c:v>Applied Stats</c:v>
                </c:pt>
                <c:pt idx="1">
                  <c:v>Mathematical Stats</c:v>
                </c:pt>
              </c:strCache>
            </c:strRef>
          </c:cat>
          <c:val>
            <c:numRef>
              <c:f>Anaysis!$H$3:$I$3</c:f>
              <c:numCache>
                <c:formatCode>0.00</c:formatCode>
                <c:ptCount val="2"/>
                <c:pt idx="0">
                  <c:v>52.631578947368418</c:v>
                </c:pt>
                <c:pt idx="1">
                  <c:v>51.473684210526315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8-4DB0-AF15-AE75A236FD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3809487"/>
        <c:axId val="1373809967"/>
      </c:barChart>
      <c:catAx>
        <c:axId val="137380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09967"/>
        <c:crosses val="autoZero"/>
        <c:auto val="1"/>
        <c:lblAlgn val="ctr"/>
        <c:lblOffset val="100"/>
        <c:noMultiLvlLbl val="0"/>
      </c:catAx>
      <c:valAx>
        <c:axId val="13738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0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'Questionnaire Dataset'!$F$4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4C-45EE-A967-B61E8E6FBD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C-45EE-A967-B61E8E6FBD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'Questionnaire Dataset'!$E$5:$E$6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'Questionnaire Dataset'!$F$5:$F$6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4C-45EE-A967-B61E8E6FBD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Course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'Questionnaire Dataset'!$F$11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5-4BAB-A9B9-62182A48F3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5-4BAB-A9B9-62182A48F3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'Questionnaire Dataset'!$E$12:$E$13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'Questionnaire Dataset'!$F$12:$F$13</c:f>
              <c:numCache>
                <c:formatCode>0%</c:formatCode>
                <c:ptCount val="2"/>
                <c:pt idx="0">
                  <c:v>0.94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5-4BAB-A9B9-62182A48F3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(%) of Level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'Questionnaire Dataset'!$F$18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Dataset'!$E$19:$E$21</c:f>
              <c:strCache>
                <c:ptCount val="3"/>
                <c:pt idx="0">
                  <c:v>HND1</c:v>
                </c:pt>
                <c:pt idx="1">
                  <c:v>HND2</c:v>
                </c:pt>
                <c:pt idx="2">
                  <c:v>Graduate</c:v>
                </c:pt>
              </c:strCache>
            </c:strRef>
          </c:cat>
          <c:val>
            <c:numRef>
              <c:f>'Questionnaire Dataset'!$F$19:$F$21</c:f>
              <c:numCache>
                <c:formatCode>0.00%</c:formatCode>
                <c:ptCount val="3"/>
                <c:pt idx="0">
                  <c:v>0.3125</c:v>
                </c:pt>
                <c:pt idx="1">
                  <c:v>0.625</c:v>
                </c:pt>
                <c:pt idx="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A-45B6-82F5-875F97E39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9810047"/>
        <c:axId val="1379811007"/>
      </c:barChart>
      <c:catAx>
        <c:axId val="13798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11007"/>
        <c:crosses val="autoZero"/>
        <c:auto val="1"/>
        <c:lblAlgn val="ctr"/>
        <c:lblOffset val="100"/>
        <c:noMultiLvlLbl val="0"/>
      </c:catAx>
      <c:valAx>
        <c:axId val="137981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665594139937711"/>
          <c:y val="0.10367575122292105"/>
          <c:w val="0.64932652085224729"/>
          <c:h val="0.4086511827530992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'Questionnaire Dataset'!$C$31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Dataset'!$C$32:$C$47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2513-4154-BA39-E240D34F46C1}"/>
            </c:ext>
          </c:extLst>
        </c:ser>
        <c:ser>
          <c:idx val="1"/>
          <c:order val="1"/>
          <c:tx>
            <c:strRef>
              <c:f>'Questionnaire Dataset'!$D$31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Dataset'!$D$32:$D$47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1-2513-4154-BA39-E240D34F46C1}"/>
            </c:ext>
          </c:extLst>
        </c:ser>
        <c:ser>
          <c:idx val="2"/>
          <c:order val="2"/>
          <c:tx>
            <c:strRef>
              <c:f>'Questionnaire Dataset'!$E$31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Dataset'!$E$32:$E$47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2513-4154-BA39-E240D34F46C1}"/>
            </c:ext>
          </c:extLst>
        </c:ser>
        <c:ser>
          <c:idx val="3"/>
          <c:order val="3"/>
          <c:tx>
            <c:strRef>
              <c:f>'Questionnaire Dataset'!$F$31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Dataset'!$F$32:$F$47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2513-4154-BA39-E240D34F46C1}"/>
            </c:ext>
          </c:extLst>
        </c:ser>
        <c:ser>
          <c:idx val="4"/>
          <c:order val="4"/>
          <c:tx>
            <c:strRef>
              <c:f>'Questionnaire Dataset'!$G$31</c:f>
              <c:strCache>
                <c:ptCount val="1"/>
                <c:pt idx="0">
                  <c:v>Disagree (1-2)</c:v>
                </c:pt>
              </c:strCache>
            </c:strRef>
          </c:tx>
          <c:spPr>
            <a:solidFill>
              <a:srgbClr val="E269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Dataset'!$G$32:$G$47</c:f>
              <c:numCache>
                <c:formatCode>General</c:formatCode>
                <c:ptCount val="16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3-4154-BA39-E240D34F46C1}"/>
            </c:ext>
          </c:extLst>
        </c:ser>
        <c:ser>
          <c:idx val="5"/>
          <c:order val="5"/>
          <c:tx>
            <c:strRef>
              <c:f>'Questionnaire Dataset'!$H$31</c:f>
              <c:strCache>
                <c:ptCount val="1"/>
                <c:pt idx="0">
                  <c:v>Nuetral (3)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Dataset'!$H$32:$H$47</c:f>
              <c:numCache>
                <c:formatCode>General</c:formatCode>
                <c:ptCount val="1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13-4154-BA39-E240D34F46C1}"/>
            </c:ext>
          </c:extLst>
        </c:ser>
        <c:ser>
          <c:idx val="6"/>
          <c:order val="6"/>
          <c:tx>
            <c:strRef>
              <c:f>'Questionnaire Dataset'!$I$31</c:f>
              <c:strCache>
                <c:ptCount val="1"/>
                <c:pt idx="0">
                  <c:v>Agree (4-5)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'Questionnaire Dataset'!$B$32:$B$47</c:f>
              <c:strCache>
                <c:ptCount val="16"/>
                <c:pt idx="0">
                  <c:v>I find Mathematical Statistics more difficult than Applied Statistics.</c:v>
                </c:pt>
                <c:pt idx="1">
                  <c:v>I find Applied Statistics more interesting than Mathematical Statistics.</c:v>
                </c:pt>
                <c:pt idx="2">
                  <c:v>I understand topics in Mathematical Statistics easily</c:v>
                </c:pt>
                <c:pt idx="3">
                  <c:v>I understand topics in Applied Statistics more easily.</c:v>
                </c:pt>
                <c:pt idx="4">
                  <c:v>The Mathematical Statistics lecturer explained the course clearly</c:v>
                </c:pt>
                <c:pt idx="5">
                  <c:v>The Applied Statistics lecturer used practical examples during lessons</c:v>
                </c:pt>
                <c:pt idx="6">
                  <c:v>Assessments method in Mathematical Statistics helped me understand the course better.</c:v>
                </c:pt>
                <c:pt idx="7">
                  <c:v>I felt confident taking test in Applied Statistics</c:v>
                </c:pt>
                <c:pt idx="8">
                  <c:v>Group discussions help understand Mathematical Statistics</c:v>
                </c:pt>
                <c:pt idx="9">
                  <c:v>Real life examples used in Applied Statistics made the course easier to understand </c:v>
                </c:pt>
                <c:pt idx="10">
                  <c:v>Watching tutorials online improved my understanding of Mathematical Statistics</c:v>
                </c:pt>
                <c:pt idx="11">
                  <c:v>Peer study sessions were helpful for Applied Statistics</c:v>
                </c:pt>
                <c:pt idx="12">
                  <c:v>I would benefit more if Mathematical Statistics was taught using practical methods</c:v>
                </c:pt>
                <c:pt idx="13">
                  <c:v>More real-life data projects should be used in Applied Statistics</c:v>
                </c:pt>
                <c:pt idx="14">
                  <c:v>I received adequate academic support in both courses</c:v>
                </c:pt>
                <c:pt idx="15">
                  <c:v>I am satisfied with my performance I both courses</c:v>
                </c:pt>
              </c:strCache>
            </c:strRef>
          </c:cat>
          <c:val>
            <c:numRef>
              <c:f>'Questionnaire Dataset'!$I$32:$I$47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15</c:v>
                </c:pt>
                <c:pt idx="14">
                  <c:v>11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13-4154-BA39-E240D34F46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8494239"/>
        <c:axId val="1508491359"/>
      </c:barChart>
      <c:catAx>
        <c:axId val="15084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91359"/>
        <c:crosses val="autoZero"/>
        <c:auto val="1"/>
        <c:lblAlgn val="ctr"/>
        <c:lblOffset val="100"/>
        <c:noMultiLvlLbl val="0"/>
      </c:catAx>
      <c:valAx>
        <c:axId val="15084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602052</xdr:colOff>
      <xdr:row>5</xdr:row>
      <xdr:rowOff>47176</xdr:rowOff>
    </xdr:from>
    <xdr:to>
      <xdr:col>15</xdr:col>
      <xdr:colOff>404364</xdr:colOff>
      <xdr:row>17</xdr:row>
      <xdr:rowOff>53916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05FBB-FDAF-EF26-144D-A991A4EEC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0</xdr:row>
      <xdr:rowOff>228600</xdr:rowOff>
    </xdr:from>
    <xdr:to>
      <xdr:col>12</xdr:col>
      <xdr:colOff>371474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9C50D-E4D1-8361-B801-1A59801F9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76201</xdr:colOff>
      <xdr:row>1</xdr:row>
      <xdr:rowOff>42862</xdr:rowOff>
    </xdr:from>
    <xdr:to>
      <xdr:col>17</xdr:col>
      <xdr:colOff>571501</xdr:colOff>
      <xdr:row>13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999EF-C516-F363-F184-143001E50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276227</xdr:colOff>
      <xdr:row>13</xdr:row>
      <xdr:rowOff>114300</xdr:rowOff>
    </xdr:from>
    <xdr:to>
      <xdr:col>13</xdr:col>
      <xdr:colOff>438151</xdr:colOff>
      <xdr:row>24</xdr:row>
      <xdr:rowOff>166686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D92DDA-5E5A-770B-CA1C-3155148AC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185736</xdr:colOff>
      <xdr:row>31</xdr:row>
      <xdr:rowOff>9524</xdr:rowOff>
    </xdr:from>
    <xdr:to>
      <xdr:col>17</xdr:col>
      <xdr:colOff>485775</xdr:colOff>
      <xdr:row>57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F8DA6E-224C-B42B-E273-548BA3F25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114300</xdr:rowOff>
    </xdr:from>
    <xdr:to>
      <xdr:col>7</xdr:col>
      <xdr:colOff>276225</xdr:colOff>
      <xdr:row>15</xdr:row>
      <xdr:rowOff>10334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FF9AA-AC6A-4C05-8B3A-20476578E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352425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29747-F477-4B4A-B57A-936AFBAAE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21</xdr:col>
      <xdr:colOff>495300</xdr:colOff>
      <xdr:row>14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08C9E5-E0F3-4525-8B8A-AA2CE145B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18</xdr:row>
      <xdr:rowOff>28575</xdr:rowOff>
    </xdr:from>
    <xdr:to>
      <xdr:col>18</xdr:col>
      <xdr:colOff>171449</xdr:colOff>
      <xdr:row>29</xdr:row>
      <xdr:rowOff>80961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5D4E20-F517-476C-A406-6DA432E0D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9</xdr:col>
      <xdr:colOff>300039</xdr:colOff>
      <xdr:row>43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1ECB4D-3D26-40A9-8E16-F0F158963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D512-AF86-4DE3-87D1-EE473217040C}">
  <dimension ref="A1:C20"/>
  <sheetViews>
    <sheetView tabSelected="1" workbookViewId="0">
      <selection activeCell="B23" sqref="B23"/>
    </sheetView>
  </sheetViews>
  <sheetFormatPr defaultRowHeight="15" x14ac:dyDescent="0.25"/>
  <cols>
    <col min="1" max="1" width="13" customWidth="1"/>
    <col min="2" max="2" width="17" customWidth="1"/>
    <col min="3" max="3" width="22" customWidth="1"/>
  </cols>
  <sheetData>
    <row r="1" spans="1:3" ht="15.75" thickBot="1" x14ac:dyDescent="0.3">
      <c r="A1" t="s">
        <v>12</v>
      </c>
      <c r="B1" t="s">
        <v>1</v>
      </c>
      <c r="C1" t="s">
        <v>2</v>
      </c>
    </row>
    <row r="2" spans="1:3" ht="16.5" thickBot="1" x14ac:dyDescent="0.3">
      <c r="A2" s="1">
        <v>1</v>
      </c>
      <c r="B2" s="1">
        <v>45</v>
      </c>
      <c r="C2" s="1">
        <v>56</v>
      </c>
    </row>
    <row r="3" spans="1:3" ht="16.5" thickBot="1" x14ac:dyDescent="0.3">
      <c r="A3" s="2">
        <v>2</v>
      </c>
      <c r="B3" s="2">
        <v>68</v>
      </c>
      <c r="C3" s="2">
        <v>75</v>
      </c>
    </row>
    <row r="4" spans="1:3" ht="16.5" thickBot="1" x14ac:dyDescent="0.3">
      <c r="A4" s="2">
        <v>3</v>
      </c>
      <c r="B4" s="2">
        <v>67</v>
      </c>
      <c r="C4" s="2">
        <v>50</v>
      </c>
    </row>
    <row r="5" spans="1:3" ht="16.5" thickBot="1" x14ac:dyDescent="0.3">
      <c r="A5" s="2">
        <v>4</v>
      </c>
      <c r="B5" s="2">
        <v>42</v>
      </c>
      <c r="C5" s="2">
        <v>57</v>
      </c>
    </row>
    <row r="6" spans="1:3" ht="16.5" thickBot="1" x14ac:dyDescent="0.3">
      <c r="A6" s="2">
        <v>5</v>
      </c>
      <c r="B6" s="2">
        <v>60</v>
      </c>
      <c r="C6" s="2">
        <v>67</v>
      </c>
    </row>
    <row r="7" spans="1:3" ht="16.5" thickBot="1" x14ac:dyDescent="0.3">
      <c r="A7" s="2">
        <v>6</v>
      </c>
      <c r="B7" s="2">
        <v>52</v>
      </c>
      <c r="C7" s="2">
        <v>42</v>
      </c>
    </row>
    <row r="8" spans="1:3" ht="16.5" thickBot="1" x14ac:dyDescent="0.3">
      <c r="A8" s="2">
        <v>7</v>
      </c>
      <c r="B8" s="2">
        <v>50</v>
      </c>
      <c r="C8" s="2">
        <v>40</v>
      </c>
    </row>
    <row r="9" spans="1:3" ht="16.5" thickBot="1" x14ac:dyDescent="0.3">
      <c r="A9" s="2">
        <v>8</v>
      </c>
      <c r="B9" s="2">
        <v>48</v>
      </c>
      <c r="C9" s="2">
        <v>34</v>
      </c>
    </row>
    <row r="10" spans="1:3" ht="16.5" thickBot="1" x14ac:dyDescent="0.3">
      <c r="A10" s="2">
        <v>9</v>
      </c>
      <c r="B10" s="2">
        <v>50</v>
      </c>
      <c r="C10" s="2">
        <v>68</v>
      </c>
    </row>
    <row r="11" spans="1:3" ht="16.5" thickBot="1" x14ac:dyDescent="0.3">
      <c r="A11" s="2">
        <v>10</v>
      </c>
      <c r="B11" s="2">
        <v>70</v>
      </c>
      <c r="C11" s="2">
        <v>78</v>
      </c>
    </row>
    <row r="12" spans="1:3" ht="16.5" thickBot="1" x14ac:dyDescent="0.3">
      <c r="A12" s="2">
        <v>11</v>
      </c>
      <c r="B12" s="2">
        <v>58</v>
      </c>
      <c r="C12" s="2">
        <v>41</v>
      </c>
    </row>
    <row r="13" spans="1:3" ht="16.5" thickBot="1" x14ac:dyDescent="0.3">
      <c r="A13" s="2">
        <v>12</v>
      </c>
      <c r="B13" s="2">
        <v>50</v>
      </c>
      <c r="C13" s="2">
        <v>47</v>
      </c>
    </row>
    <row r="14" spans="1:3" ht="16.5" thickBot="1" x14ac:dyDescent="0.3">
      <c r="A14" s="2">
        <v>13</v>
      </c>
      <c r="B14" s="2">
        <v>56</v>
      </c>
      <c r="C14" s="2">
        <v>55</v>
      </c>
    </row>
    <row r="15" spans="1:3" ht="16.5" thickBot="1" x14ac:dyDescent="0.3">
      <c r="A15" s="2">
        <v>14</v>
      </c>
      <c r="B15" s="2">
        <v>67</v>
      </c>
      <c r="C15" s="2">
        <v>46</v>
      </c>
    </row>
    <row r="16" spans="1:3" ht="16.5" thickBot="1" x14ac:dyDescent="0.3">
      <c r="A16" s="2">
        <v>15</v>
      </c>
      <c r="B16" s="2">
        <v>45</v>
      </c>
      <c r="C16" s="2">
        <v>47</v>
      </c>
    </row>
    <row r="17" spans="1:3" ht="16.5" thickBot="1" x14ac:dyDescent="0.3">
      <c r="A17" s="2">
        <v>16</v>
      </c>
      <c r="B17" s="2">
        <v>40</v>
      </c>
      <c r="C17" s="2">
        <v>49</v>
      </c>
    </row>
    <row r="18" spans="1:3" ht="16.5" thickBot="1" x14ac:dyDescent="0.3">
      <c r="A18" s="2">
        <v>17</v>
      </c>
      <c r="B18" s="2">
        <v>41</v>
      </c>
      <c r="C18" s="2">
        <v>40</v>
      </c>
    </row>
    <row r="19" spans="1:3" ht="16.5" thickBot="1" x14ac:dyDescent="0.3">
      <c r="A19" s="2">
        <v>18</v>
      </c>
      <c r="B19" s="2">
        <v>45</v>
      </c>
      <c r="C19" s="2">
        <v>40</v>
      </c>
    </row>
    <row r="20" spans="1:3" ht="16.5" thickBot="1" x14ac:dyDescent="0.3">
      <c r="A20" s="2">
        <v>19</v>
      </c>
      <c r="B20" s="2">
        <v>46</v>
      </c>
      <c r="C20" s="2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9017-840E-4FD9-8AD9-4299E543A908}">
  <dimension ref="A1:I27"/>
  <sheetViews>
    <sheetView zoomScale="106" zoomScaleNormal="106" workbookViewId="0">
      <selection activeCell="G16" sqref="G16"/>
    </sheetView>
  </sheetViews>
  <sheetFormatPr defaultRowHeight="15" x14ac:dyDescent="0.25"/>
  <cols>
    <col min="1" max="1" width="13" customWidth="1"/>
    <col min="2" max="2" width="17" customWidth="1"/>
    <col min="3" max="3" width="22" customWidth="1"/>
    <col min="4" max="4" width="11.5703125" customWidth="1"/>
    <col min="7" max="7" width="19.7109375" customWidth="1"/>
    <col min="8" max="8" width="13.42578125" customWidth="1"/>
    <col min="9" max="9" width="18" customWidth="1"/>
  </cols>
  <sheetData>
    <row r="1" spans="1:9" ht="19.5" thickBot="1" x14ac:dyDescent="0.35">
      <c r="A1" t="s">
        <v>0</v>
      </c>
      <c r="B1" t="s">
        <v>1</v>
      </c>
      <c r="C1" t="s">
        <v>2</v>
      </c>
      <c r="D1" t="s">
        <v>3</v>
      </c>
      <c r="G1" s="6" t="s">
        <v>7</v>
      </c>
      <c r="H1" s="7"/>
      <c r="I1" s="7"/>
    </row>
    <row r="2" spans="1:9" ht="16.5" thickBot="1" x14ac:dyDescent="0.3">
      <c r="A2" s="1">
        <v>1</v>
      </c>
      <c r="B2" s="1">
        <v>45</v>
      </c>
      <c r="C2" s="1">
        <v>56</v>
      </c>
      <c r="D2">
        <f>B2-C2</f>
        <v>-11</v>
      </c>
      <c r="G2" t="s">
        <v>8</v>
      </c>
      <c r="H2" t="s">
        <v>10</v>
      </c>
      <c r="I2" t="s">
        <v>11</v>
      </c>
    </row>
    <row r="3" spans="1:9" ht="16.5" thickBot="1" x14ac:dyDescent="0.3">
      <c r="A3" s="2">
        <v>2</v>
      </c>
      <c r="B3" s="2">
        <v>68</v>
      </c>
      <c r="C3" s="2">
        <v>75</v>
      </c>
      <c r="D3">
        <f t="shared" ref="D3:D20" si="0">B3-C3</f>
        <v>-7</v>
      </c>
      <c r="G3" t="s">
        <v>4</v>
      </c>
      <c r="H3" s="3">
        <v>52.631578947368418</v>
      </c>
      <c r="I3" s="3">
        <v>51.473684210526315</v>
      </c>
    </row>
    <row r="4" spans="1:9" ht="16.5" thickBot="1" x14ac:dyDescent="0.3">
      <c r="A4" s="2">
        <v>3</v>
      </c>
      <c r="B4" s="2">
        <v>67</v>
      </c>
      <c r="C4" s="2">
        <v>50</v>
      </c>
      <c r="D4">
        <f t="shared" si="0"/>
        <v>17</v>
      </c>
      <c r="G4" t="s">
        <v>9</v>
      </c>
      <c r="H4" s="3">
        <v>9.7593859455955414</v>
      </c>
      <c r="I4" s="3">
        <v>12.567013350888242</v>
      </c>
    </row>
    <row r="5" spans="1:9" ht="16.5" thickBot="1" x14ac:dyDescent="0.3">
      <c r="A5" s="2">
        <v>4</v>
      </c>
      <c r="B5" s="2">
        <v>42</v>
      </c>
      <c r="C5" s="2">
        <v>57</v>
      </c>
      <c r="D5">
        <f t="shared" si="0"/>
        <v>-15</v>
      </c>
      <c r="G5" t="s">
        <v>6</v>
      </c>
      <c r="H5" s="3">
        <v>95.245614035087783</v>
      </c>
      <c r="I5" s="3">
        <v>157.92982456140331</v>
      </c>
    </row>
    <row r="6" spans="1:9" ht="16.5" thickBot="1" x14ac:dyDescent="0.3">
      <c r="A6" s="2">
        <v>5</v>
      </c>
      <c r="B6" s="2">
        <v>60</v>
      </c>
      <c r="C6" s="2">
        <v>67</v>
      </c>
      <c r="D6">
        <f t="shared" si="0"/>
        <v>-7</v>
      </c>
    </row>
    <row r="7" spans="1:9" ht="16.5" thickBot="1" x14ac:dyDescent="0.3">
      <c r="A7" s="2">
        <v>6</v>
      </c>
      <c r="B7" s="2">
        <v>52</v>
      </c>
      <c r="C7" s="2">
        <v>42</v>
      </c>
      <c r="D7">
        <f t="shared" si="0"/>
        <v>10</v>
      </c>
    </row>
    <row r="8" spans="1:9" ht="16.5" thickBot="1" x14ac:dyDescent="0.3">
      <c r="A8" s="2">
        <v>7</v>
      </c>
      <c r="B8" s="2">
        <v>50</v>
      </c>
      <c r="C8" s="2">
        <v>40</v>
      </c>
      <c r="D8">
        <f t="shared" si="0"/>
        <v>10</v>
      </c>
      <c r="G8" s="8" t="s">
        <v>13</v>
      </c>
      <c r="H8" s="7"/>
    </row>
    <row r="9" spans="1:9" ht="16.5" thickBot="1" x14ac:dyDescent="0.3">
      <c r="A9" s="2">
        <v>8</v>
      </c>
      <c r="B9" s="2">
        <v>48</v>
      </c>
      <c r="C9" s="2">
        <v>34</v>
      </c>
      <c r="D9">
        <f t="shared" si="0"/>
        <v>14</v>
      </c>
      <c r="G9" t="s">
        <v>14</v>
      </c>
      <c r="H9" t="s">
        <v>16</v>
      </c>
    </row>
    <row r="10" spans="1:9" ht="16.5" thickBot="1" x14ac:dyDescent="0.3">
      <c r="A10" s="2">
        <v>9</v>
      </c>
      <c r="B10" s="2">
        <v>50</v>
      </c>
      <c r="C10" s="2">
        <v>68</v>
      </c>
      <c r="D10">
        <f t="shared" si="0"/>
        <v>-18</v>
      </c>
      <c r="G10" t="s">
        <v>15</v>
      </c>
      <c r="H10">
        <f>_xlfn.T.TEST(B2:B20,C2:C20,2,1)</f>
        <v>0.66345184536154989</v>
      </c>
    </row>
    <row r="11" spans="1:9" ht="16.5" thickBot="1" x14ac:dyDescent="0.3">
      <c r="A11" s="2">
        <v>10</v>
      </c>
      <c r="B11" s="2">
        <v>70</v>
      </c>
      <c r="C11" s="2">
        <v>78</v>
      </c>
      <c r="D11">
        <f t="shared" si="0"/>
        <v>-8</v>
      </c>
    </row>
    <row r="12" spans="1:9" ht="16.5" thickBot="1" x14ac:dyDescent="0.3">
      <c r="A12" s="2">
        <v>11</v>
      </c>
      <c r="B12" s="2">
        <v>58</v>
      </c>
      <c r="C12" s="2">
        <v>41</v>
      </c>
      <c r="D12">
        <f t="shared" si="0"/>
        <v>17</v>
      </c>
    </row>
    <row r="13" spans="1:9" ht="16.5" thickBot="1" x14ac:dyDescent="0.3">
      <c r="A13" s="2">
        <v>12</v>
      </c>
      <c r="B13" s="2">
        <v>50</v>
      </c>
      <c r="C13" s="2">
        <v>47</v>
      </c>
      <c r="D13">
        <f t="shared" si="0"/>
        <v>3</v>
      </c>
    </row>
    <row r="14" spans="1:9" ht="16.5" thickBot="1" x14ac:dyDescent="0.3">
      <c r="A14" s="2">
        <v>13</v>
      </c>
      <c r="B14" s="2">
        <v>56</v>
      </c>
      <c r="C14" s="2">
        <v>55</v>
      </c>
      <c r="D14">
        <f t="shared" si="0"/>
        <v>1</v>
      </c>
    </row>
    <row r="15" spans="1:9" ht="16.5" thickBot="1" x14ac:dyDescent="0.3">
      <c r="A15" s="2">
        <v>14</v>
      </c>
      <c r="B15" s="2">
        <v>67</v>
      </c>
      <c r="C15" s="2">
        <v>46</v>
      </c>
      <c r="D15">
        <f t="shared" si="0"/>
        <v>21</v>
      </c>
    </row>
    <row r="16" spans="1:9" ht="16.5" thickBot="1" x14ac:dyDescent="0.3">
      <c r="A16" s="2">
        <v>15</v>
      </c>
      <c r="B16" s="2">
        <v>45</v>
      </c>
      <c r="C16" s="2">
        <v>47</v>
      </c>
      <c r="D16">
        <f t="shared" si="0"/>
        <v>-2</v>
      </c>
    </row>
    <row r="17" spans="1:4" ht="16.5" thickBot="1" x14ac:dyDescent="0.3">
      <c r="A17" s="2">
        <v>16</v>
      </c>
      <c r="B17" s="2">
        <v>40</v>
      </c>
      <c r="C17" s="2">
        <v>49</v>
      </c>
      <c r="D17">
        <f t="shared" si="0"/>
        <v>-9</v>
      </c>
    </row>
    <row r="18" spans="1:4" ht="16.5" thickBot="1" x14ac:dyDescent="0.3">
      <c r="A18" s="2">
        <v>17</v>
      </c>
      <c r="B18" s="2">
        <v>41</v>
      </c>
      <c r="C18" s="2">
        <v>40</v>
      </c>
      <c r="D18">
        <f t="shared" si="0"/>
        <v>1</v>
      </c>
    </row>
    <row r="19" spans="1:4" ht="16.5" thickBot="1" x14ac:dyDescent="0.3">
      <c r="A19" s="2">
        <v>18</v>
      </c>
      <c r="B19" s="2">
        <v>45</v>
      </c>
      <c r="C19" s="2">
        <v>40</v>
      </c>
      <c r="D19">
        <f t="shared" si="0"/>
        <v>5</v>
      </c>
    </row>
    <row r="20" spans="1:4" ht="16.5" thickBot="1" x14ac:dyDescent="0.3">
      <c r="A20" s="2">
        <v>19</v>
      </c>
      <c r="B20" s="2">
        <v>46</v>
      </c>
      <c r="C20" s="2">
        <v>46</v>
      </c>
      <c r="D20">
        <f t="shared" si="0"/>
        <v>0</v>
      </c>
    </row>
    <row r="22" spans="1:4" x14ac:dyDescent="0.25">
      <c r="B22" t="s">
        <v>4</v>
      </c>
      <c r="C22" t="s">
        <v>4</v>
      </c>
    </row>
    <row r="23" spans="1:4" x14ac:dyDescent="0.25">
      <c r="B23">
        <f>AVERAGE(B2:B20)</f>
        <v>52.631578947368418</v>
      </c>
      <c r="C23">
        <f>AVERAGE(C2:C20)</f>
        <v>51.473684210526315</v>
      </c>
    </row>
    <row r="24" spans="1:4" x14ac:dyDescent="0.25">
      <c r="B24" t="s">
        <v>5</v>
      </c>
      <c r="C24" t="s">
        <v>5</v>
      </c>
    </row>
    <row r="25" spans="1:4" x14ac:dyDescent="0.25">
      <c r="B25">
        <f>_xlfn.STDEV.S(B2:B20)</f>
        <v>9.7593859455955414</v>
      </c>
      <c r="C25">
        <f>_xlfn.STDEV.S(C2:C20)</f>
        <v>12.567013350888242</v>
      </c>
    </row>
    <row r="26" spans="1:4" x14ac:dyDescent="0.25">
      <c r="B26" t="s">
        <v>6</v>
      </c>
      <c r="C26" t="s">
        <v>6</v>
      </c>
    </row>
    <row r="27" spans="1:4" x14ac:dyDescent="0.25">
      <c r="B27">
        <f>_xlfn.VAR.S(B2:B20)</f>
        <v>95.245614035087783</v>
      </c>
      <c r="C27">
        <f>_xlfn.VAR.S(C2:C20)</f>
        <v>157.92982456140331</v>
      </c>
    </row>
  </sheetData>
  <mergeCells count="2">
    <mergeCell ref="G1:I1"/>
    <mergeCell ref="G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DE0D-085F-41DB-AC5E-AF56B5DD5276}">
  <dimension ref="A1:I48"/>
  <sheetViews>
    <sheetView topLeftCell="A22" workbookViewId="0">
      <selection activeCell="I54" sqref="I54"/>
    </sheetView>
  </sheetViews>
  <sheetFormatPr defaultRowHeight="15" x14ac:dyDescent="0.25"/>
  <cols>
    <col min="1" max="1" width="18.28515625" customWidth="1"/>
    <col min="2" max="2" width="13.42578125" customWidth="1"/>
    <col min="3" max="3" width="20.85546875" customWidth="1"/>
    <col min="5" max="5" width="32.42578125" customWidth="1"/>
    <col min="6" max="6" width="14.7109375" customWidth="1"/>
    <col min="7" max="7" width="18.42578125" customWidth="1"/>
    <col min="8" max="8" width="18.140625" customWidth="1"/>
    <col min="9" max="9" width="17" customWidth="1"/>
  </cols>
  <sheetData>
    <row r="1" spans="1:6" ht="21" x14ac:dyDescent="0.35">
      <c r="A1" s="13" t="s">
        <v>17</v>
      </c>
      <c r="B1" s="7"/>
      <c r="C1" s="7"/>
    </row>
    <row r="3" spans="1:6" x14ac:dyDescent="0.25">
      <c r="B3" s="8" t="s">
        <v>18</v>
      </c>
      <c r="C3" s="7"/>
    </row>
    <row r="4" spans="1:6" x14ac:dyDescent="0.25">
      <c r="A4" t="s">
        <v>19</v>
      </c>
      <c r="B4" t="s">
        <v>23</v>
      </c>
      <c r="C4" t="s">
        <v>24</v>
      </c>
      <c r="E4" t="s">
        <v>19</v>
      </c>
      <c r="F4" t="s">
        <v>24</v>
      </c>
    </row>
    <row r="5" spans="1:6" x14ac:dyDescent="0.25">
      <c r="A5" t="s">
        <v>20</v>
      </c>
      <c r="B5">
        <v>14</v>
      </c>
      <c r="C5" s="5">
        <v>0.75</v>
      </c>
      <c r="E5" t="s">
        <v>20</v>
      </c>
      <c r="F5" s="5">
        <v>0.75</v>
      </c>
    </row>
    <row r="6" spans="1:6" x14ac:dyDescent="0.25">
      <c r="A6" t="s">
        <v>21</v>
      </c>
      <c r="B6">
        <v>2</v>
      </c>
      <c r="C6" s="5">
        <v>0.25</v>
      </c>
      <c r="E6" t="s">
        <v>21</v>
      </c>
      <c r="F6" s="5">
        <v>0.25</v>
      </c>
    </row>
    <row r="7" spans="1:6" x14ac:dyDescent="0.25">
      <c r="A7" t="s">
        <v>22</v>
      </c>
      <c r="B7">
        <v>16</v>
      </c>
      <c r="C7" s="5">
        <v>1</v>
      </c>
    </row>
    <row r="11" spans="1:6" x14ac:dyDescent="0.25">
      <c r="B11" s="8" t="s">
        <v>25</v>
      </c>
      <c r="C11" s="7"/>
      <c r="E11" t="s">
        <v>26</v>
      </c>
      <c r="F11" t="s">
        <v>24</v>
      </c>
    </row>
    <row r="12" spans="1:6" x14ac:dyDescent="0.25">
      <c r="A12" t="s">
        <v>26</v>
      </c>
      <c r="B12" t="s">
        <v>23</v>
      </c>
      <c r="C12" t="s">
        <v>24</v>
      </c>
      <c r="E12" t="s">
        <v>27</v>
      </c>
      <c r="F12" s="5">
        <v>0.94</v>
      </c>
    </row>
    <row r="13" spans="1:6" x14ac:dyDescent="0.25">
      <c r="A13" t="s">
        <v>27</v>
      </c>
      <c r="B13">
        <v>15</v>
      </c>
      <c r="C13" s="5">
        <v>0.94</v>
      </c>
      <c r="E13" t="s">
        <v>28</v>
      </c>
      <c r="F13" s="5">
        <v>0.06</v>
      </c>
    </row>
    <row r="14" spans="1:6" x14ac:dyDescent="0.25">
      <c r="A14" t="s">
        <v>28</v>
      </c>
      <c r="B14">
        <v>1</v>
      </c>
      <c r="C14" s="5">
        <v>0.06</v>
      </c>
    </row>
    <row r="15" spans="1:6" x14ac:dyDescent="0.25">
      <c r="A15" t="s">
        <v>22</v>
      </c>
      <c r="B15">
        <v>16</v>
      </c>
      <c r="C15" s="5">
        <v>1</v>
      </c>
    </row>
    <row r="18" spans="1:9" x14ac:dyDescent="0.25">
      <c r="B18" s="8" t="s">
        <v>29</v>
      </c>
      <c r="C18" s="7"/>
      <c r="E18" t="s">
        <v>30</v>
      </c>
      <c r="F18" t="s">
        <v>24</v>
      </c>
    </row>
    <row r="19" spans="1:9" x14ac:dyDescent="0.25">
      <c r="A19" t="s">
        <v>30</v>
      </c>
      <c r="B19" t="s">
        <v>23</v>
      </c>
      <c r="C19" t="s">
        <v>24</v>
      </c>
      <c r="E19" t="s">
        <v>31</v>
      </c>
      <c r="F19" s="4">
        <v>0.3125</v>
      </c>
    </row>
    <row r="20" spans="1:9" x14ac:dyDescent="0.25">
      <c r="A20" t="s">
        <v>31</v>
      </c>
      <c r="B20">
        <v>5</v>
      </c>
      <c r="C20" s="4">
        <v>0.3125</v>
      </c>
      <c r="E20" t="s">
        <v>32</v>
      </c>
      <c r="F20" s="4">
        <v>0.625</v>
      </c>
    </row>
    <row r="21" spans="1:9" x14ac:dyDescent="0.25">
      <c r="A21" t="s">
        <v>32</v>
      </c>
      <c r="B21">
        <v>10</v>
      </c>
      <c r="C21" s="4">
        <v>0.625</v>
      </c>
      <c r="E21" t="s">
        <v>33</v>
      </c>
      <c r="F21" s="4">
        <v>6.25E-2</v>
      </c>
    </row>
    <row r="22" spans="1:9" x14ac:dyDescent="0.25">
      <c r="A22" t="s">
        <v>33</v>
      </c>
      <c r="B22">
        <v>1</v>
      </c>
      <c r="C22" s="4">
        <v>6.25E-2</v>
      </c>
    </row>
    <row r="23" spans="1:9" x14ac:dyDescent="0.25">
      <c r="A23" t="s">
        <v>22</v>
      </c>
      <c r="B23">
        <v>16</v>
      </c>
      <c r="C23" s="5">
        <v>1</v>
      </c>
    </row>
    <row r="30" spans="1:9" ht="21" x14ac:dyDescent="0.35">
      <c r="C30" s="11" t="s">
        <v>34</v>
      </c>
      <c r="D30" s="12"/>
      <c r="E30" s="12"/>
      <c r="F30" s="12"/>
      <c r="G30" s="12"/>
      <c r="H30" s="12"/>
      <c r="I30" s="12"/>
    </row>
    <row r="31" spans="1:9" x14ac:dyDescent="0.25">
      <c r="B31" s="12" t="s">
        <v>51</v>
      </c>
      <c r="C31" s="12"/>
      <c r="D31" s="12"/>
      <c r="E31" s="12"/>
      <c r="F31" s="12"/>
      <c r="G31" t="s">
        <v>52</v>
      </c>
      <c r="H31" t="s">
        <v>53</v>
      </c>
      <c r="I31" t="s">
        <v>54</v>
      </c>
    </row>
    <row r="32" spans="1:9" ht="15.75" x14ac:dyDescent="0.25">
      <c r="B32" s="10" t="s">
        <v>35</v>
      </c>
      <c r="C32" s="10"/>
      <c r="D32" s="10"/>
      <c r="E32" s="10"/>
      <c r="F32" s="10"/>
      <c r="G32">
        <v>3</v>
      </c>
      <c r="H32">
        <v>4</v>
      </c>
      <c r="I32">
        <v>9</v>
      </c>
    </row>
    <row r="33" spans="2:9" ht="15.75" x14ac:dyDescent="0.25">
      <c r="B33" s="10" t="s">
        <v>36</v>
      </c>
      <c r="C33" s="10"/>
      <c r="D33" s="10"/>
      <c r="E33" s="10"/>
      <c r="F33" s="10"/>
      <c r="G33">
        <v>6</v>
      </c>
      <c r="H33">
        <v>2</v>
      </c>
      <c r="I33">
        <v>8</v>
      </c>
    </row>
    <row r="34" spans="2:9" ht="15.75" x14ac:dyDescent="0.25">
      <c r="B34" s="10" t="s">
        <v>37</v>
      </c>
      <c r="C34" s="10"/>
      <c r="D34" s="10"/>
      <c r="E34" s="10"/>
      <c r="F34" s="10"/>
      <c r="G34">
        <v>4</v>
      </c>
      <c r="H34">
        <v>2</v>
      </c>
      <c r="I34">
        <v>10</v>
      </c>
    </row>
    <row r="35" spans="2:9" ht="15.75" x14ac:dyDescent="0.25">
      <c r="B35" s="10" t="s">
        <v>38</v>
      </c>
      <c r="C35" s="10"/>
      <c r="D35" s="10"/>
      <c r="E35" s="10"/>
      <c r="F35" s="10"/>
      <c r="G35">
        <v>1</v>
      </c>
      <c r="H35">
        <v>3</v>
      </c>
      <c r="I35">
        <v>12</v>
      </c>
    </row>
    <row r="36" spans="2:9" ht="15.75" x14ac:dyDescent="0.25">
      <c r="B36" s="10" t="s">
        <v>39</v>
      </c>
      <c r="C36" s="10"/>
      <c r="D36" s="10"/>
      <c r="E36" s="10"/>
      <c r="F36" s="10"/>
      <c r="G36">
        <v>3</v>
      </c>
      <c r="H36">
        <v>3</v>
      </c>
      <c r="I36">
        <v>10</v>
      </c>
    </row>
    <row r="37" spans="2:9" ht="15.75" x14ac:dyDescent="0.25">
      <c r="B37" s="10" t="s">
        <v>40</v>
      </c>
      <c r="C37" s="10"/>
      <c r="D37" s="10"/>
      <c r="E37" s="10"/>
      <c r="F37" s="10"/>
      <c r="G37">
        <v>2</v>
      </c>
      <c r="H37">
        <v>2</v>
      </c>
      <c r="I37">
        <v>12</v>
      </c>
    </row>
    <row r="38" spans="2:9" ht="15.75" x14ac:dyDescent="0.25">
      <c r="B38" s="10" t="s">
        <v>41</v>
      </c>
      <c r="C38" s="10"/>
      <c r="D38" s="10"/>
      <c r="E38" s="10"/>
      <c r="F38" s="10"/>
      <c r="G38">
        <v>2</v>
      </c>
      <c r="H38">
        <v>1</v>
      </c>
      <c r="I38">
        <v>13</v>
      </c>
    </row>
    <row r="39" spans="2:9" ht="15.75" x14ac:dyDescent="0.25">
      <c r="B39" s="10" t="s">
        <v>42</v>
      </c>
      <c r="C39" s="10"/>
      <c r="D39" s="10"/>
      <c r="E39" s="10"/>
      <c r="F39" s="10"/>
      <c r="G39">
        <v>2</v>
      </c>
      <c r="H39">
        <v>3</v>
      </c>
      <c r="I39">
        <v>11</v>
      </c>
    </row>
    <row r="40" spans="2:9" ht="15.75" x14ac:dyDescent="0.25">
      <c r="B40" s="10" t="s">
        <v>43</v>
      </c>
      <c r="C40" s="10"/>
      <c r="D40" s="10"/>
      <c r="E40" s="10"/>
      <c r="F40" s="10"/>
      <c r="G40">
        <v>2</v>
      </c>
      <c r="H40">
        <v>5</v>
      </c>
      <c r="I40">
        <v>9</v>
      </c>
    </row>
    <row r="41" spans="2:9" ht="15.75" x14ac:dyDescent="0.25">
      <c r="B41" s="10" t="s">
        <v>44</v>
      </c>
      <c r="C41" s="10"/>
      <c r="D41" s="10"/>
      <c r="E41" s="10"/>
      <c r="F41" s="10"/>
      <c r="G41">
        <v>0</v>
      </c>
      <c r="H41">
        <v>2</v>
      </c>
      <c r="I41">
        <v>14</v>
      </c>
    </row>
    <row r="42" spans="2:9" ht="15.75" x14ac:dyDescent="0.25">
      <c r="B42" s="10" t="s">
        <v>45</v>
      </c>
      <c r="C42" s="10"/>
      <c r="D42" s="10"/>
      <c r="E42" s="10"/>
      <c r="F42" s="10"/>
      <c r="G42">
        <v>2</v>
      </c>
      <c r="H42">
        <v>2</v>
      </c>
      <c r="I42">
        <v>12</v>
      </c>
    </row>
    <row r="43" spans="2:9" ht="15.75" x14ac:dyDescent="0.25">
      <c r="B43" s="10" t="s">
        <v>46</v>
      </c>
      <c r="C43" s="10"/>
      <c r="D43" s="10"/>
      <c r="E43" s="10"/>
      <c r="F43" s="10"/>
      <c r="G43">
        <v>2</v>
      </c>
      <c r="H43">
        <v>2</v>
      </c>
      <c r="I43">
        <v>12</v>
      </c>
    </row>
    <row r="44" spans="2:9" ht="15.75" x14ac:dyDescent="0.25">
      <c r="B44" s="10" t="s">
        <v>47</v>
      </c>
      <c r="C44" s="10"/>
      <c r="D44" s="10"/>
      <c r="E44" s="10"/>
      <c r="F44" s="10"/>
      <c r="G44">
        <v>3</v>
      </c>
      <c r="H44">
        <v>1</v>
      </c>
      <c r="I44">
        <v>12</v>
      </c>
    </row>
    <row r="45" spans="2:9" ht="15.75" x14ac:dyDescent="0.25">
      <c r="B45" s="10" t="s">
        <v>48</v>
      </c>
      <c r="C45" s="10"/>
      <c r="D45" s="10"/>
      <c r="E45" s="10"/>
      <c r="F45" s="10"/>
      <c r="G45">
        <v>0</v>
      </c>
      <c r="H45">
        <v>1</v>
      </c>
      <c r="I45">
        <v>15</v>
      </c>
    </row>
    <row r="46" spans="2:9" ht="15.75" x14ac:dyDescent="0.25">
      <c r="B46" s="10" t="s">
        <v>49</v>
      </c>
      <c r="C46" s="10"/>
      <c r="D46" s="10"/>
      <c r="E46" s="10"/>
      <c r="F46" s="10"/>
      <c r="G46">
        <v>3</v>
      </c>
      <c r="H46">
        <v>2</v>
      </c>
      <c r="I46">
        <v>11</v>
      </c>
    </row>
    <row r="47" spans="2:9" ht="15.75" x14ac:dyDescent="0.25">
      <c r="B47" s="10" t="s">
        <v>50</v>
      </c>
      <c r="C47" s="10"/>
      <c r="D47" s="10"/>
      <c r="E47" s="10"/>
      <c r="F47" s="10"/>
      <c r="G47">
        <v>2</v>
      </c>
      <c r="H47">
        <v>4</v>
      </c>
      <c r="I47">
        <v>10</v>
      </c>
    </row>
    <row r="48" spans="2:9" ht="15.75" x14ac:dyDescent="0.25">
      <c r="B48" s="9"/>
      <c r="C48" s="9"/>
      <c r="D48" s="9"/>
      <c r="E48" s="9"/>
      <c r="F48" s="9"/>
    </row>
  </sheetData>
  <mergeCells count="23">
    <mergeCell ref="C30:I30"/>
    <mergeCell ref="B31:F31"/>
    <mergeCell ref="B32:F32"/>
    <mergeCell ref="B33:F33"/>
    <mergeCell ref="A1:C1"/>
    <mergeCell ref="B3:C3"/>
    <mergeCell ref="B11:C11"/>
    <mergeCell ref="B18:C18"/>
    <mergeCell ref="B48:F48"/>
    <mergeCell ref="B35:F35"/>
    <mergeCell ref="B36:F36"/>
    <mergeCell ref="B34:F34"/>
    <mergeCell ref="B37:F37"/>
    <mergeCell ref="B39:F39"/>
    <mergeCell ref="B40:F40"/>
    <mergeCell ref="B44:F44"/>
    <mergeCell ref="B43:F43"/>
    <mergeCell ref="B45:F45"/>
    <mergeCell ref="B46:F46"/>
    <mergeCell ref="B47:F47"/>
    <mergeCell ref="B38:F38"/>
    <mergeCell ref="B41:F41"/>
    <mergeCell ref="B42:F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8B44-D671-4C80-8514-4BFA60633B2A}">
  <dimension ref="A1"/>
  <sheetViews>
    <sheetView workbookViewId="0">
      <selection activeCell="B17" sqref="B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scores Dataset</vt:lpstr>
      <vt:lpstr>Anaysis</vt:lpstr>
      <vt:lpstr>Questionnaire Dataset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Eberechi Eze</dc:creator>
  <cp:lastModifiedBy>Eberechi Eze</cp:lastModifiedBy>
  <dcterms:created xsi:type="dcterms:W3CDTF">2025-12-26T22:09:54Z</dcterms:created>
  <dcterms:modified xsi:type="dcterms:W3CDTF">2025-12-28T20:27:57Z</dcterms:modified>
</cp:coreProperties>
</file>